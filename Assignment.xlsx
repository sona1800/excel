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 activeTab="1"/>
  </bookViews>
  <sheets>
    <sheet name="Q1 to Q3" sheetId="1" r:id="rId1"/>
    <sheet name="Q4 to Q8" sheetId="2" r:id="rId2"/>
  </sheets>
  <calcPr calcId="124519"/>
  <fileRecoveryPr repairLoad="1"/>
</workbook>
</file>

<file path=xl/calcChain.xml><?xml version="1.0" encoding="utf-8"?>
<calcChain xmlns="http://schemas.openxmlformats.org/spreadsheetml/2006/main">
  <c r="H51" i="2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J8"/>
  <c r="H8"/>
  <c r="H7"/>
  <c r="H6"/>
  <c r="H5"/>
  <c r="H4"/>
  <c r="J5" s="1"/>
  <c r="H3"/>
  <c r="J2"/>
  <c r="H2"/>
  <c r="A27" i="1"/>
  <c r="D24"/>
  <c r="D23"/>
  <c r="D22"/>
  <c r="D5"/>
  <c r="E5" s="1"/>
  <c r="D4"/>
  <c r="E4" s="1"/>
  <c r="D3"/>
  <c r="E3" s="1"/>
  <c r="A18" l="1"/>
</calcChain>
</file>

<file path=xl/sharedStrings.xml><?xml version="1.0" encoding="utf-8"?>
<sst xmlns="http://schemas.openxmlformats.org/spreadsheetml/2006/main" count="214" uniqueCount="121">
  <si>
    <t>Q.1</t>
  </si>
  <si>
    <t>Vehicle</t>
  </si>
  <si>
    <t>Price</t>
  </si>
  <si>
    <t>Units sale</t>
  </si>
  <si>
    <t>Total sales</t>
  </si>
  <si>
    <t>15% discount</t>
  </si>
  <si>
    <t>Car</t>
  </si>
  <si>
    <t>Bicycle</t>
  </si>
  <si>
    <t>Auto-Rickshaw</t>
  </si>
  <si>
    <t xml:space="preserve">Relative cell referencing - when we put a formula in a cell and copied in other cell then it automatic use that cell is called relative cell . </t>
  </si>
  <si>
    <t>ex.- put formula in cell D2 and copy that in D3 than it automatic use relative cell.</t>
  </si>
  <si>
    <t>D2= B2*C2 -&gt; copy in D3= B3*C3</t>
  </si>
  <si>
    <t>Absolute cell referencing- when we put a formula in cell and copied in other cell but using one fixed cell for each cell that fixed cell is called absolute cell.</t>
  </si>
  <si>
    <t>ex. E2= D2*$I$1 -&gt; copy in E3= D3*$I$1</t>
  </si>
  <si>
    <t>Mixed cell referencing- when we use a formula and want to fixed only a coloum or a row for each cell by using $ sign that cell is called mixed cell referencing.</t>
  </si>
  <si>
    <t>Q.2 total sale of car and bicycle</t>
  </si>
  <si>
    <t>Q3</t>
  </si>
  <si>
    <t>Item</t>
  </si>
  <si>
    <t>Sales</t>
  </si>
  <si>
    <t>Item A</t>
  </si>
  <si>
    <t>Item B</t>
  </si>
  <si>
    <t>Item C</t>
  </si>
  <si>
    <t>Average sales of item priced above 100 but less than 300</t>
  </si>
  <si>
    <t>OrderID</t>
  </si>
  <si>
    <t>CustomerName</t>
  </si>
  <si>
    <t>Region</t>
  </si>
  <si>
    <t>Product</t>
  </si>
  <si>
    <t>Quantity</t>
  </si>
  <si>
    <t>UnitPrice</t>
  </si>
  <si>
    <t>OrderDate</t>
  </si>
  <si>
    <t>sales</t>
  </si>
  <si>
    <t>Q4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</si>
  <si>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</si>
  <si>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</si>
  <si>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</si>
  <si>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</si>
  <si>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</si>
  <si>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</si>
  <si>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</si>
  <si>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</si>
  <si>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</si>
  <si>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Q5</t>
  </si>
  <si>
    <t>Pooja Mehta</t>
  </si>
  <si>
    <t>West</t>
  </si>
  <si>
    <t>Ankit Jain</t>
  </si>
  <si>
    <t>Pencil</t>
  </si>
  <si>
    <t>Sneha Patel</t>
  </si>
  <si>
    <t>Q6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</si>
  <si>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</si>
  <si>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</si>
  <si>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</si>
  <si>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</si>
  <si>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</si>
  <si>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</si>
  <si>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</si>
  <si>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Q7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</si>
  <si>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</si>
  <si>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</si>
  <si>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</si>
  <si>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</si>
  <si>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</si>
  <si>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</si>
  <si>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</si>
  <si>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</si>
  <si>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</si>
  <si>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</si>
  <si>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</si>
  <si>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</si>
  <si>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</si>
  <si>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</si>
  <si>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</si>
  <si>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</si>
  <si>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</si>
  <si>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</si>
  <si>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</si>
  <si>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</si>
  <si>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</si>
  <si>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</si>
  <si>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</si>
  <si>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Q8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</si>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</sst>
</file>

<file path=xl/styles.xml><?xml version="1.0" encoding="utf-8"?>
<styleSheet xmlns="http://schemas.openxmlformats.org/spreadsheetml/2006/main">
  <numFmts count="1">
    <numFmt numFmtId="164" formatCode="mm\-dd\-yyyy"/>
  </numFmts>
  <fonts count="5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9" fontId="2" fillId="0" borderId="0" xfId="0" applyNumberFormat="1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9" fontId="2" fillId="2" borderId="1" xfId="0" applyNumberFormat="1" applyFont="1" applyFill="1" applyBorder="1" applyAlignment="1"/>
    <xf numFmtId="0" fontId="2" fillId="0" borderId="1" xfId="0" applyFont="1" applyBorder="1"/>
    <xf numFmtId="0" fontId="2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Alignment="1"/>
    <xf numFmtId="164" fontId="4" fillId="0" borderId="0" xfId="0" applyNumberFormat="1" applyFon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'Q4 to Q8'!$H$1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'Q4 to Q8'!$D$2:$D$51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'Q4 to Q8'!$H$2:$H$51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</c:ser>
        <c:axId val="70657536"/>
        <c:axId val="70660096"/>
      </c:barChart>
      <c:catAx>
        <c:axId val="70657536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txPr>
          <a:bodyPr/>
          <a:lstStyle/>
          <a:p>
            <a:pPr lvl="0">
              <a:defRPr b="0" i="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660096"/>
        <c:crosses val="autoZero"/>
        <c:lblAlgn val="ctr"/>
        <c:lblOffset val="100"/>
      </c:catAx>
      <c:valAx>
        <c:axId val="70660096"/>
        <c:scaling>
          <c:orientation val="minMax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657536"/>
        <c:crosses val="autoZero"/>
        <c:crossBetween val="between"/>
      </c:valAx>
    </c:plotArea>
    <c:legend>
      <c:legendPos val="t"/>
      <c:layout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41666666666666669"/>
          <c:y val="0"/>
        </c:manualLayout>
      </c:layout>
    </c:title>
    <c:plotArea>
      <c:layout/>
      <c:lineChart>
        <c:grouping val="standard"/>
        <c:ser>
          <c:idx val="0"/>
          <c:order val="0"/>
          <c:tx>
            <c:strRef>
              <c:f>'Q4 to Q8'!$E$1</c:f>
              <c:strCache>
                <c:ptCount val="1"/>
                <c:pt idx="0">
                  <c:v>Quantity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'Q4 to Q8'!$E$2:$E$51</c:f>
              <c:numCache>
                <c:formatCode>General</c:formatCode>
                <c:ptCount val="50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30</c:v>
                </c:pt>
                <c:pt idx="5">
                  <c:v>12</c:v>
                </c:pt>
                <c:pt idx="6">
                  <c:v>25</c:v>
                </c:pt>
                <c:pt idx="7">
                  <c:v>18</c:v>
                </c:pt>
                <c:pt idx="8">
                  <c:v>22</c:v>
                </c:pt>
                <c:pt idx="9">
                  <c:v>8</c:v>
                </c:pt>
                <c:pt idx="10">
                  <c:v>40</c:v>
                </c:pt>
                <c:pt idx="11">
                  <c:v>35</c:v>
                </c:pt>
                <c:pt idx="12">
                  <c:v>14</c:v>
                </c:pt>
                <c:pt idx="13">
                  <c:v>28</c:v>
                </c:pt>
                <c:pt idx="14">
                  <c:v>12</c:v>
                </c:pt>
                <c:pt idx="15">
                  <c:v>25</c:v>
                </c:pt>
                <c:pt idx="16">
                  <c:v>20</c:v>
                </c:pt>
                <c:pt idx="17">
                  <c:v>10</c:v>
                </c:pt>
                <c:pt idx="18">
                  <c:v>15</c:v>
                </c:pt>
                <c:pt idx="19">
                  <c:v>18</c:v>
                </c:pt>
                <c:pt idx="20">
                  <c:v>9</c:v>
                </c:pt>
                <c:pt idx="21">
                  <c:v>35</c:v>
                </c:pt>
                <c:pt idx="22">
                  <c:v>30</c:v>
                </c:pt>
                <c:pt idx="23">
                  <c:v>11</c:v>
                </c:pt>
                <c:pt idx="24">
                  <c:v>14</c:v>
                </c:pt>
                <c:pt idx="25">
                  <c:v>16</c:v>
                </c:pt>
                <c:pt idx="26">
                  <c:v>22</c:v>
                </c:pt>
                <c:pt idx="27">
                  <c:v>27</c:v>
                </c:pt>
                <c:pt idx="28">
                  <c:v>13</c:v>
                </c:pt>
                <c:pt idx="29">
                  <c:v>32</c:v>
                </c:pt>
                <c:pt idx="30">
                  <c:v>10</c:v>
                </c:pt>
                <c:pt idx="31">
                  <c:v>18</c:v>
                </c:pt>
                <c:pt idx="32">
                  <c:v>22</c:v>
                </c:pt>
                <c:pt idx="33">
                  <c:v>17</c:v>
                </c:pt>
                <c:pt idx="34">
                  <c:v>19</c:v>
                </c:pt>
                <c:pt idx="35">
                  <c:v>15</c:v>
                </c:pt>
                <c:pt idx="36">
                  <c:v>28</c:v>
                </c:pt>
                <c:pt idx="37">
                  <c:v>24</c:v>
                </c:pt>
                <c:pt idx="38">
                  <c:v>16</c:v>
                </c:pt>
                <c:pt idx="39">
                  <c:v>27</c:v>
                </c:pt>
                <c:pt idx="40">
                  <c:v>21</c:v>
                </c:pt>
                <c:pt idx="41">
                  <c:v>30</c:v>
                </c:pt>
                <c:pt idx="42">
                  <c:v>26</c:v>
                </c:pt>
                <c:pt idx="43">
                  <c:v>14</c:v>
                </c:pt>
                <c:pt idx="44">
                  <c:v>20</c:v>
                </c:pt>
                <c:pt idx="45">
                  <c:v>17</c:v>
                </c:pt>
                <c:pt idx="46">
                  <c:v>19</c:v>
                </c:pt>
                <c:pt idx="47">
                  <c:v>32</c:v>
                </c:pt>
                <c:pt idx="48">
                  <c:v>12</c:v>
                </c:pt>
                <c:pt idx="49">
                  <c:v>25</c:v>
                </c:pt>
              </c:numCache>
            </c:numRef>
          </c:val>
        </c:ser>
        <c:marker val="1"/>
        <c:axId val="70667648"/>
        <c:axId val="70702592"/>
      </c:lineChart>
      <c:catAx>
        <c:axId val="70667648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702592"/>
        <c:crosses val="autoZero"/>
        <c:lblAlgn val="ctr"/>
        <c:lblOffset val="100"/>
      </c:catAx>
      <c:valAx>
        <c:axId val="70702592"/>
        <c:scaling>
          <c:orientation val="minMax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667648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323850</xdr:colOff>
      <xdr:row>9</xdr:row>
      <xdr:rowOff>180975</xdr:rowOff>
    </xdr:from>
    <xdr:ext cx="3362325" cy="2409825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219075</xdr:colOff>
      <xdr:row>23</xdr:row>
      <xdr:rowOff>57150</xdr:rowOff>
    </xdr:from>
    <xdr:ext cx="3886200" cy="2228850"/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27"/>
  <sheetViews>
    <sheetView workbookViewId="0"/>
  </sheetViews>
  <sheetFormatPr defaultColWidth="12.5703125" defaultRowHeight="15.75" customHeight="1"/>
  <sheetData>
    <row r="1" spans="1:9" ht="15.75" customHeight="1">
      <c r="A1" s="1" t="s">
        <v>0</v>
      </c>
      <c r="B1" s="1"/>
      <c r="C1" s="1"/>
      <c r="D1" s="1"/>
      <c r="E1" s="2"/>
      <c r="I1" s="3"/>
    </row>
    <row r="2" spans="1:9" ht="15.75" customHeight="1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I2" s="6">
        <v>0.05</v>
      </c>
    </row>
    <row r="3" spans="1:9">
      <c r="A3" s="5" t="s">
        <v>6</v>
      </c>
      <c r="B3" s="5">
        <v>500000</v>
      </c>
      <c r="C3" s="5">
        <v>20</v>
      </c>
      <c r="D3" s="7">
        <f t="shared" ref="D3:D5" si="0">B3*C3</f>
        <v>10000000</v>
      </c>
      <c r="E3" s="7">
        <f t="shared" ref="E3:E5" si="1">D3*$I$2</f>
        <v>500000</v>
      </c>
    </row>
    <row r="4" spans="1:9">
      <c r="A4" s="5" t="s">
        <v>7</v>
      </c>
      <c r="B4" s="5">
        <v>10500</v>
      </c>
      <c r="C4" s="5">
        <v>45</v>
      </c>
      <c r="D4" s="7">
        <f t="shared" si="0"/>
        <v>472500</v>
      </c>
      <c r="E4" s="7">
        <f t="shared" si="1"/>
        <v>23625</v>
      </c>
    </row>
    <row r="5" spans="1:9">
      <c r="A5" s="5" t="s">
        <v>8</v>
      </c>
      <c r="B5" s="5">
        <v>25000</v>
      </c>
      <c r="C5" s="5">
        <v>35</v>
      </c>
      <c r="D5" s="7">
        <f t="shared" si="0"/>
        <v>875000</v>
      </c>
      <c r="E5" s="7">
        <f t="shared" si="1"/>
        <v>43750</v>
      </c>
    </row>
    <row r="7" spans="1:9">
      <c r="A7" s="2" t="s">
        <v>9</v>
      </c>
    </row>
    <row r="8" spans="1:9">
      <c r="A8" s="2" t="s">
        <v>10</v>
      </c>
    </row>
    <row r="9" spans="1:9">
      <c r="A9" s="2" t="s">
        <v>11</v>
      </c>
    </row>
    <row r="11" spans="1:9">
      <c r="A11" s="2" t="s">
        <v>12</v>
      </c>
    </row>
    <row r="12" spans="1:9">
      <c r="A12" s="2" t="s">
        <v>13</v>
      </c>
    </row>
    <row r="14" spans="1:9">
      <c r="A14" s="2" t="s">
        <v>14</v>
      </c>
    </row>
    <row r="17" spans="1:4">
      <c r="A17" s="2" t="s">
        <v>15</v>
      </c>
    </row>
    <row r="18" spans="1:4">
      <c r="A18" s="8">
        <f>SUM(D3,D4)</f>
        <v>10472500</v>
      </c>
    </row>
    <row r="20" spans="1:4">
      <c r="A20" s="2" t="s">
        <v>16</v>
      </c>
    </row>
    <row r="21" spans="1:4">
      <c r="A21" s="5" t="s">
        <v>17</v>
      </c>
      <c r="B21" s="5" t="s">
        <v>2</v>
      </c>
      <c r="C21" s="5" t="s">
        <v>18</v>
      </c>
      <c r="D21" s="5" t="s">
        <v>4</v>
      </c>
    </row>
    <row r="22" spans="1:4">
      <c r="A22" s="5" t="s">
        <v>19</v>
      </c>
      <c r="B22" s="5">
        <v>90</v>
      </c>
      <c r="C22" s="5">
        <v>1000</v>
      </c>
      <c r="D22" s="7">
        <f t="shared" ref="D22:D24" si="2">B22*C22</f>
        <v>90000</v>
      </c>
    </row>
    <row r="23" spans="1:4">
      <c r="A23" s="5" t="s">
        <v>20</v>
      </c>
      <c r="B23" s="5">
        <v>150</v>
      </c>
      <c r="C23" s="5">
        <v>1200</v>
      </c>
      <c r="D23" s="7">
        <f t="shared" si="2"/>
        <v>180000</v>
      </c>
    </row>
    <row r="24" spans="1:4">
      <c r="A24" s="5" t="s">
        <v>21</v>
      </c>
      <c r="B24" s="5">
        <v>250</v>
      </c>
      <c r="C24" s="5">
        <v>1500</v>
      </c>
      <c r="D24" s="7">
        <f t="shared" si="2"/>
        <v>375000</v>
      </c>
    </row>
    <row r="26" spans="1:4">
      <c r="A26" s="2" t="s">
        <v>22</v>
      </c>
    </row>
    <row r="27" spans="1:4">
      <c r="A27" s="8">
        <f>AVERAGEIFS(C22:C24,B22:B24,"&gt;100",B22:B24,"&lt;300")</f>
        <v>1350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51"/>
  <sheetViews>
    <sheetView tabSelected="1" topLeftCell="A16" workbookViewId="0">
      <selection activeCell="I23" sqref="I23"/>
    </sheetView>
  </sheetViews>
  <sheetFormatPr defaultColWidth="12.5703125" defaultRowHeight="15.75" customHeight="1"/>
  <sheetData>
    <row r="1" spans="1:10" ht="15.75" customHeight="1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2" t="s">
        <v>30</v>
      </c>
      <c r="I1" s="2"/>
      <c r="J1" s="2" t="s">
        <v>31</v>
      </c>
    </row>
    <row r="2" spans="1:10" ht="15.75" customHeight="1">
      <c r="A2" s="10">
        <v>1001</v>
      </c>
      <c r="B2" s="11" t="s">
        <v>32</v>
      </c>
      <c r="C2" s="11" t="s">
        <v>33</v>
      </c>
      <c r="D2" s="11" t="s">
        <v>34</v>
      </c>
      <c r="E2" s="10">
        <v>10</v>
      </c>
      <c r="F2" s="10">
        <v>50</v>
      </c>
      <c r="G2" s="12">
        <v>45413</v>
      </c>
      <c r="H2" s="8">
        <f t="shared" ref="H2:H51" si="0">F2*E2</f>
        <v>500</v>
      </c>
      <c r="J2" s="8">
        <f>COUNTA(B2:B510)</f>
        <v>50</v>
      </c>
    </row>
    <row r="3" spans="1:10" ht="15.75" customHeight="1">
      <c r="A3" s="10">
        <v>1002</v>
      </c>
      <c r="B3" s="11" t="s">
        <v>35</v>
      </c>
      <c r="C3" s="11" t="s">
        <v>36</v>
      </c>
      <c r="D3" s="11" t="s">
        <v>37</v>
      </c>
      <c r="E3" s="10">
        <v>20</v>
      </c>
      <c r="F3" s="10">
        <v>10</v>
      </c>
      <c r="G3" s="12">
        <v>45444</v>
      </c>
      <c r="H3" s="8">
        <f t="shared" si="0"/>
        <v>200</v>
      </c>
    </row>
    <row r="4" spans="1:10" ht="15.75" customHeight="1">
      <c r="A4" s="10">
        <v>1003</v>
      </c>
      <c r="B4" s="11" t="s">
        <v>38</v>
      </c>
      <c r="C4" s="11" t="s">
        <v>39</v>
      </c>
      <c r="D4" s="11" t="s">
        <v>40</v>
      </c>
      <c r="E4" s="10">
        <v>15</v>
      </c>
      <c r="F4" s="10">
        <v>25</v>
      </c>
      <c r="G4" s="12">
        <v>45474</v>
      </c>
      <c r="H4" s="8">
        <f t="shared" si="0"/>
        <v>375</v>
      </c>
      <c r="I4" s="2"/>
      <c r="J4" s="2" t="s">
        <v>41</v>
      </c>
    </row>
    <row r="5" spans="1:10" ht="15.75" customHeight="1">
      <c r="A5" s="10">
        <v>1004</v>
      </c>
      <c r="B5" s="11" t="s">
        <v>42</v>
      </c>
      <c r="C5" s="11" t="s">
        <v>43</v>
      </c>
      <c r="D5" s="11" t="s">
        <v>34</v>
      </c>
      <c r="E5" s="10">
        <v>5</v>
      </c>
      <c r="F5" s="10">
        <v>50</v>
      </c>
      <c r="G5" s="12">
        <v>45505</v>
      </c>
      <c r="H5" s="8">
        <f t="shared" si="0"/>
        <v>250</v>
      </c>
      <c r="J5" s="8">
        <f>SUM(H2:H510)</f>
        <v>16543</v>
      </c>
    </row>
    <row r="6" spans="1:10" ht="15.75" customHeight="1">
      <c r="A6" s="10">
        <v>1005</v>
      </c>
      <c r="B6" s="11" t="s">
        <v>44</v>
      </c>
      <c r="C6" s="11" t="s">
        <v>33</v>
      </c>
      <c r="D6" s="11" t="s">
        <v>45</v>
      </c>
      <c r="E6" s="10">
        <v>30</v>
      </c>
      <c r="F6" s="10">
        <v>5</v>
      </c>
      <c r="G6" s="12">
        <v>45566</v>
      </c>
      <c r="H6" s="8">
        <f t="shared" si="0"/>
        <v>150</v>
      </c>
    </row>
    <row r="7" spans="1:10" ht="15.75" customHeight="1">
      <c r="A7" s="10">
        <v>1006</v>
      </c>
      <c r="B7" s="11" t="s">
        <v>46</v>
      </c>
      <c r="C7" s="11" t="s">
        <v>36</v>
      </c>
      <c r="D7" s="11" t="s">
        <v>34</v>
      </c>
      <c r="E7" s="10">
        <v>12</v>
      </c>
      <c r="F7" s="10">
        <v>50</v>
      </c>
      <c r="G7" s="12">
        <v>45597</v>
      </c>
      <c r="H7" s="8">
        <f t="shared" si="0"/>
        <v>600</v>
      </c>
      <c r="J7" s="2" t="s">
        <v>47</v>
      </c>
    </row>
    <row r="8" spans="1:10" ht="15.75" customHeight="1">
      <c r="A8" s="10">
        <v>1007</v>
      </c>
      <c r="B8" s="11" t="s">
        <v>48</v>
      </c>
      <c r="C8" s="11" t="s">
        <v>39</v>
      </c>
      <c r="D8" s="11" t="s">
        <v>49</v>
      </c>
      <c r="E8" s="10">
        <v>25</v>
      </c>
      <c r="F8" s="10">
        <v>8</v>
      </c>
      <c r="G8" s="10" t="s">
        <v>50</v>
      </c>
      <c r="H8" s="8">
        <f t="shared" si="0"/>
        <v>200</v>
      </c>
      <c r="J8" s="8">
        <f>SUMIFS(H2:H51,D2:D51,"Notebook",C2:C51,"North")</f>
        <v>2900</v>
      </c>
    </row>
    <row r="9" spans="1:10" ht="15.75" customHeight="1">
      <c r="A9" s="10">
        <v>1008</v>
      </c>
      <c r="B9" s="11" t="s">
        <v>51</v>
      </c>
      <c r="C9" s="11" t="s">
        <v>43</v>
      </c>
      <c r="D9" s="11" t="s">
        <v>37</v>
      </c>
      <c r="E9" s="10">
        <v>18</v>
      </c>
      <c r="F9" s="10">
        <v>10</v>
      </c>
      <c r="G9" s="10" t="s">
        <v>52</v>
      </c>
      <c r="H9" s="8">
        <f t="shared" si="0"/>
        <v>180</v>
      </c>
    </row>
    <row r="10" spans="1:10" ht="15.75" customHeight="1">
      <c r="A10" s="10">
        <v>1009</v>
      </c>
      <c r="B10" s="11" t="s">
        <v>53</v>
      </c>
      <c r="C10" s="11" t="s">
        <v>33</v>
      </c>
      <c r="D10" s="11" t="s">
        <v>40</v>
      </c>
      <c r="E10" s="10">
        <v>22</v>
      </c>
      <c r="F10" s="10">
        <v>25</v>
      </c>
      <c r="G10" s="10" t="s">
        <v>54</v>
      </c>
      <c r="H10" s="8">
        <f t="shared" si="0"/>
        <v>550</v>
      </c>
      <c r="J10" s="2" t="s">
        <v>55</v>
      </c>
    </row>
    <row r="11" spans="1:10" ht="15.75" customHeight="1">
      <c r="A11" s="10">
        <v>1010</v>
      </c>
      <c r="B11" s="11" t="s">
        <v>56</v>
      </c>
      <c r="C11" s="11" t="s">
        <v>36</v>
      </c>
      <c r="D11" s="11" t="s">
        <v>34</v>
      </c>
      <c r="E11" s="10">
        <v>8</v>
      </c>
      <c r="F11" s="10">
        <v>50</v>
      </c>
      <c r="G11" s="10" t="s">
        <v>57</v>
      </c>
      <c r="H11" s="8">
        <f t="shared" si="0"/>
        <v>400</v>
      </c>
    </row>
    <row r="12" spans="1:10" ht="15.75" customHeight="1">
      <c r="A12" s="10">
        <v>1011</v>
      </c>
      <c r="B12" s="11" t="s">
        <v>58</v>
      </c>
      <c r="C12" s="11" t="s">
        <v>39</v>
      </c>
      <c r="D12" s="11" t="s">
        <v>45</v>
      </c>
      <c r="E12" s="10">
        <v>40</v>
      </c>
      <c r="F12" s="10">
        <v>5</v>
      </c>
      <c r="G12" s="10" t="s">
        <v>59</v>
      </c>
      <c r="H12" s="8">
        <f t="shared" si="0"/>
        <v>200</v>
      </c>
    </row>
    <row r="13" spans="1:10" ht="15.75" customHeight="1">
      <c r="A13" s="10">
        <v>1012</v>
      </c>
      <c r="B13" s="11" t="s">
        <v>60</v>
      </c>
      <c r="C13" s="11" t="s">
        <v>43</v>
      </c>
      <c r="D13" s="11" t="s">
        <v>49</v>
      </c>
      <c r="E13" s="10">
        <v>35</v>
      </c>
      <c r="F13" s="10">
        <v>8</v>
      </c>
      <c r="G13" s="10" t="s">
        <v>61</v>
      </c>
      <c r="H13" s="8">
        <f t="shared" si="0"/>
        <v>280</v>
      </c>
    </row>
    <row r="14" spans="1:10" ht="15.75" customHeight="1">
      <c r="A14" s="10">
        <v>1013</v>
      </c>
      <c r="B14" s="11" t="s">
        <v>62</v>
      </c>
      <c r="C14" s="11" t="s">
        <v>33</v>
      </c>
      <c r="D14" s="11" t="s">
        <v>34</v>
      </c>
      <c r="E14" s="10">
        <v>14</v>
      </c>
      <c r="F14" s="10">
        <v>50</v>
      </c>
      <c r="G14" s="10" t="s">
        <v>63</v>
      </c>
      <c r="H14" s="8">
        <f t="shared" si="0"/>
        <v>700</v>
      </c>
    </row>
    <row r="15" spans="1:10" ht="15.75" customHeight="1">
      <c r="A15" s="10">
        <v>1014</v>
      </c>
      <c r="B15" s="11" t="s">
        <v>64</v>
      </c>
      <c r="C15" s="11" t="s">
        <v>36</v>
      </c>
      <c r="D15" s="11" t="s">
        <v>37</v>
      </c>
      <c r="E15" s="10">
        <v>28</v>
      </c>
      <c r="F15" s="10">
        <v>10</v>
      </c>
      <c r="G15" s="10" t="s">
        <v>65</v>
      </c>
      <c r="H15" s="8">
        <f t="shared" si="0"/>
        <v>280</v>
      </c>
    </row>
    <row r="16" spans="1:10" ht="15.75" customHeight="1">
      <c r="A16" s="10">
        <v>1015</v>
      </c>
      <c r="B16" s="11" t="s">
        <v>66</v>
      </c>
      <c r="C16" s="11" t="s">
        <v>39</v>
      </c>
      <c r="D16" s="11" t="s">
        <v>40</v>
      </c>
      <c r="E16" s="10">
        <v>12</v>
      </c>
      <c r="F16" s="10">
        <v>25</v>
      </c>
      <c r="G16" s="10" t="s">
        <v>67</v>
      </c>
      <c r="H16" s="8">
        <f t="shared" si="0"/>
        <v>300</v>
      </c>
    </row>
    <row r="17" spans="1:10" ht="15.75" customHeight="1">
      <c r="A17" s="10">
        <v>1016</v>
      </c>
      <c r="B17" s="11" t="s">
        <v>68</v>
      </c>
      <c r="C17" s="11" t="s">
        <v>43</v>
      </c>
      <c r="D17" s="11" t="s">
        <v>45</v>
      </c>
      <c r="E17" s="10">
        <v>25</v>
      </c>
      <c r="F17" s="10">
        <v>5</v>
      </c>
      <c r="G17" s="10" t="s">
        <v>69</v>
      </c>
      <c r="H17" s="8">
        <f t="shared" si="0"/>
        <v>125</v>
      </c>
    </row>
    <row r="18" spans="1:10" ht="15.75" customHeight="1">
      <c r="A18" s="10">
        <v>1017</v>
      </c>
      <c r="B18" s="11" t="s">
        <v>70</v>
      </c>
      <c r="C18" s="11" t="s">
        <v>33</v>
      </c>
      <c r="D18" s="11" t="s">
        <v>49</v>
      </c>
      <c r="E18" s="10">
        <v>20</v>
      </c>
      <c r="F18" s="10">
        <v>8</v>
      </c>
      <c r="G18" s="10" t="s">
        <v>71</v>
      </c>
      <c r="H18" s="8">
        <f t="shared" si="0"/>
        <v>160</v>
      </c>
    </row>
    <row r="19" spans="1:10" ht="15.75" customHeight="1">
      <c r="A19" s="10">
        <v>1018</v>
      </c>
      <c r="B19" s="11" t="s">
        <v>72</v>
      </c>
      <c r="C19" s="11" t="s">
        <v>36</v>
      </c>
      <c r="D19" s="11" t="s">
        <v>34</v>
      </c>
      <c r="E19" s="10">
        <v>10</v>
      </c>
      <c r="F19" s="10">
        <v>50</v>
      </c>
      <c r="G19" s="10" t="s">
        <v>73</v>
      </c>
      <c r="H19" s="8">
        <f t="shared" si="0"/>
        <v>500</v>
      </c>
    </row>
    <row r="20" spans="1:10" ht="15.75" customHeight="1">
      <c r="A20" s="10">
        <v>1019</v>
      </c>
      <c r="B20" s="11" t="s">
        <v>74</v>
      </c>
      <c r="C20" s="11" t="s">
        <v>39</v>
      </c>
      <c r="D20" s="11" t="s">
        <v>37</v>
      </c>
      <c r="E20" s="10">
        <v>15</v>
      </c>
      <c r="F20" s="10">
        <v>10</v>
      </c>
      <c r="G20" s="10" t="s">
        <v>75</v>
      </c>
      <c r="H20" s="8">
        <f t="shared" si="0"/>
        <v>150</v>
      </c>
    </row>
    <row r="21" spans="1:10" ht="15.75" customHeight="1">
      <c r="A21" s="10">
        <v>1020</v>
      </c>
      <c r="B21" s="11" t="s">
        <v>76</v>
      </c>
      <c r="C21" s="11" t="s">
        <v>43</v>
      </c>
      <c r="D21" s="11" t="s">
        <v>40</v>
      </c>
      <c r="E21" s="10">
        <v>18</v>
      </c>
      <c r="F21" s="10">
        <v>25</v>
      </c>
      <c r="G21" s="12">
        <v>45293</v>
      </c>
      <c r="H21" s="8">
        <f t="shared" si="0"/>
        <v>450</v>
      </c>
    </row>
    <row r="22" spans="1:10" ht="15.75" customHeight="1">
      <c r="A22" s="10">
        <v>1021</v>
      </c>
      <c r="B22" s="11" t="s">
        <v>77</v>
      </c>
      <c r="C22" s="11" t="s">
        <v>33</v>
      </c>
      <c r="D22" s="11" t="s">
        <v>34</v>
      </c>
      <c r="E22" s="10">
        <v>9</v>
      </c>
      <c r="F22" s="10">
        <v>50</v>
      </c>
      <c r="G22" s="12">
        <v>45324</v>
      </c>
      <c r="H22" s="8">
        <f t="shared" si="0"/>
        <v>450</v>
      </c>
    </row>
    <row r="23" spans="1:10" ht="15.75" customHeight="1">
      <c r="A23" s="10">
        <v>1022</v>
      </c>
      <c r="B23" s="11" t="s">
        <v>78</v>
      </c>
      <c r="C23" s="11" t="s">
        <v>36</v>
      </c>
      <c r="D23" s="11" t="s">
        <v>45</v>
      </c>
      <c r="E23" s="10">
        <v>35</v>
      </c>
      <c r="F23" s="10">
        <v>5</v>
      </c>
      <c r="G23" s="12">
        <v>45353</v>
      </c>
      <c r="H23" s="8">
        <f t="shared" si="0"/>
        <v>175</v>
      </c>
      <c r="I23" s="2"/>
      <c r="J23" s="13" t="s">
        <v>79</v>
      </c>
    </row>
    <row r="24" spans="1:10" ht="15.75" customHeight="1">
      <c r="A24" s="10">
        <v>1023</v>
      </c>
      <c r="B24" s="11" t="s">
        <v>80</v>
      </c>
      <c r="C24" s="11" t="s">
        <v>39</v>
      </c>
      <c r="D24" s="11" t="s">
        <v>49</v>
      </c>
      <c r="E24" s="10">
        <v>30</v>
      </c>
      <c r="F24" s="10">
        <v>8</v>
      </c>
      <c r="G24" s="12">
        <v>45384</v>
      </c>
      <c r="H24" s="8">
        <f t="shared" si="0"/>
        <v>240</v>
      </c>
    </row>
    <row r="25" spans="1:10" ht="15.75" customHeight="1">
      <c r="A25" s="10">
        <v>1024</v>
      </c>
      <c r="B25" s="11" t="s">
        <v>81</v>
      </c>
      <c r="C25" s="11" t="s">
        <v>43</v>
      </c>
      <c r="D25" s="11" t="s">
        <v>34</v>
      </c>
      <c r="E25" s="10">
        <v>11</v>
      </c>
      <c r="F25" s="10">
        <v>50</v>
      </c>
      <c r="G25" s="12">
        <v>45445</v>
      </c>
      <c r="H25" s="8">
        <f t="shared" si="0"/>
        <v>550</v>
      </c>
    </row>
    <row r="26" spans="1:10" ht="15.75" customHeight="1">
      <c r="A26" s="10">
        <v>1025</v>
      </c>
      <c r="B26" s="11" t="s">
        <v>82</v>
      </c>
      <c r="C26" s="11" t="s">
        <v>33</v>
      </c>
      <c r="D26" s="11" t="s">
        <v>37</v>
      </c>
      <c r="E26" s="10">
        <v>14</v>
      </c>
      <c r="F26" s="10">
        <v>10</v>
      </c>
      <c r="G26" s="12">
        <v>45475</v>
      </c>
      <c r="H26" s="8">
        <f t="shared" si="0"/>
        <v>140</v>
      </c>
    </row>
    <row r="27" spans="1:10" ht="15.75" customHeight="1">
      <c r="A27" s="10">
        <v>1026</v>
      </c>
      <c r="B27" s="11" t="s">
        <v>83</v>
      </c>
      <c r="C27" s="11" t="s">
        <v>36</v>
      </c>
      <c r="D27" s="11" t="s">
        <v>40</v>
      </c>
      <c r="E27" s="10">
        <v>16</v>
      </c>
      <c r="F27" s="10">
        <v>25</v>
      </c>
      <c r="G27" s="12">
        <v>45506</v>
      </c>
      <c r="H27" s="8">
        <f t="shared" si="0"/>
        <v>400</v>
      </c>
    </row>
    <row r="28" spans="1:10" ht="15.75" customHeight="1">
      <c r="A28" s="10">
        <v>1027</v>
      </c>
      <c r="B28" s="11" t="s">
        <v>84</v>
      </c>
      <c r="C28" s="11" t="s">
        <v>39</v>
      </c>
      <c r="D28" s="11" t="s">
        <v>45</v>
      </c>
      <c r="E28" s="10">
        <v>22</v>
      </c>
      <c r="F28" s="10">
        <v>5</v>
      </c>
      <c r="G28" s="12">
        <v>45537</v>
      </c>
      <c r="H28" s="8">
        <f t="shared" si="0"/>
        <v>110</v>
      </c>
    </row>
    <row r="29" spans="1:10" ht="15.75" customHeight="1">
      <c r="A29" s="10">
        <v>1028</v>
      </c>
      <c r="B29" s="11" t="s">
        <v>85</v>
      </c>
      <c r="C29" s="11" t="s">
        <v>43</v>
      </c>
      <c r="D29" s="11" t="s">
        <v>49</v>
      </c>
      <c r="E29" s="10">
        <v>27</v>
      </c>
      <c r="F29" s="10">
        <v>8</v>
      </c>
      <c r="G29" s="12">
        <v>45567</v>
      </c>
      <c r="H29" s="8">
        <f t="shared" si="0"/>
        <v>216</v>
      </c>
    </row>
    <row r="30" spans="1:10" ht="15.75" customHeight="1">
      <c r="A30" s="10">
        <v>1029</v>
      </c>
      <c r="B30" s="11" t="s">
        <v>86</v>
      </c>
      <c r="C30" s="11" t="s">
        <v>33</v>
      </c>
      <c r="D30" s="11" t="s">
        <v>34</v>
      </c>
      <c r="E30" s="10">
        <v>13</v>
      </c>
      <c r="F30" s="10">
        <v>50</v>
      </c>
      <c r="G30" s="12">
        <v>45628</v>
      </c>
      <c r="H30" s="8">
        <f t="shared" si="0"/>
        <v>650</v>
      </c>
    </row>
    <row r="31" spans="1:10" ht="15.75" customHeight="1">
      <c r="A31" s="10">
        <v>1030</v>
      </c>
      <c r="B31" s="11" t="s">
        <v>87</v>
      </c>
      <c r="C31" s="11" t="s">
        <v>36</v>
      </c>
      <c r="D31" s="11" t="s">
        <v>37</v>
      </c>
      <c r="E31" s="10">
        <v>32</v>
      </c>
      <c r="F31" s="10">
        <v>10</v>
      </c>
      <c r="G31" s="10" t="s">
        <v>88</v>
      </c>
      <c r="H31" s="8">
        <f t="shared" si="0"/>
        <v>320</v>
      </c>
    </row>
    <row r="32" spans="1:10" ht="15.75" customHeight="1">
      <c r="A32" s="10">
        <v>1031</v>
      </c>
      <c r="B32" s="11" t="s">
        <v>89</v>
      </c>
      <c r="C32" s="11" t="s">
        <v>39</v>
      </c>
      <c r="D32" s="11" t="s">
        <v>40</v>
      </c>
      <c r="E32" s="10">
        <v>10</v>
      </c>
      <c r="F32" s="10">
        <v>25</v>
      </c>
      <c r="G32" s="10" t="s">
        <v>90</v>
      </c>
      <c r="H32" s="8">
        <f t="shared" si="0"/>
        <v>250</v>
      </c>
    </row>
    <row r="33" spans="1:8" ht="15.75" customHeight="1">
      <c r="A33" s="10">
        <v>1032</v>
      </c>
      <c r="B33" s="11" t="s">
        <v>91</v>
      </c>
      <c r="C33" s="11" t="s">
        <v>43</v>
      </c>
      <c r="D33" s="11" t="s">
        <v>45</v>
      </c>
      <c r="E33" s="10">
        <v>18</v>
      </c>
      <c r="F33" s="10">
        <v>5</v>
      </c>
      <c r="G33" s="10" t="s">
        <v>92</v>
      </c>
      <c r="H33" s="8">
        <f t="shared" si="0"/>
        <v>90</v>
      </c>
    </row>
    <row r="34" spans="1:8" ht="15.75" customHeight="1">
      <c r="A34" s="10">
        <v>1033</v>
      </c>
      <c r="B34" s="11" t="s">
        <v>93</v>
      </c>
      <c r="C34" s="11" t="s">
        <v>33</v>
      </c>
      <c r="D34" s="11" t="s">
        <v>49</v>
      </c>
      <c r="E34" s="10">
        <v>22</v>
      </c>
      <c r="F34" s="10">
        <v>8</v>
      </c>
      <c r="G34" s="10" t="s">
        <v>94</v>
      </c>
      <c r="H34" s="8">
        <f t="shared" si="0"/>
        <v>176</v>
      </c>
    </row>
    <row r="35" spans="1:8" ht="15.75" customHeight="1">
      <c r="A35" s="10">
        <v>1034</v>
      </c>
      <c r="B35" s="11" t="s">
        <v>95</v>
      </c>
      <c r="C35" s="11" t="s">
        <v>36</v>
      </c>
      <c r="D35" s="11" t="s">
        <v>34</v>
      </c>
      <c r="E35" s="10">
        <v>17</v>
      </c>
      <c r="F35" s="10">
        <v>50</v>
      </c>
      <c r="G35" s="10" t="s">
        <v>96</v>
      </c>
      <c r="H35" s="8">
        <f t="shared" si="0"/>
        <v>850</v>
      </c>
    </row>
    <row r="36" spans="1:8" ht="15.75" customHeight="1">
      <c r="A36" s="10">
        <v>1035</v>
      </c>
      <c r="B36" s="11" t="s">
        <v>97</v>
      </c>
      <c r="C36" s="11" t="s">
        <v>39</v>
      </c>
      <c r="D36" s="11" t="s">
        <v>37</v>
      </c>
      <c r="E36" s="10">
        <v>19</v>
      </c>
      <c r="F36" s="10">
        <v>10</v>
      </c>
      <c r="G36" s="10" t="s">
        <v>98</v>
      </c>
      <c r="H36" s="8">
        <f t="shared" si="0"/>
        <v>190</v>
      </c>
    </row>
    <row r="37" spans="1:8" ht="15.75" customHeight="1">
      <c r="A37" s="10">
        <v>1036</v>
      </c>
      <c r="B37" s="11" t="s">
        <v>99</v>
      </c>
      <c r="C37" s="11" t="s">
        <v>43</v>
      </c>
      <c r="D37" s="11" t="s">
        <v>40</v>
      </c>
      <c r="E37" s="10">
        <v>15</v>
      </c>
      <c r="F37" s="10">
        <v>25</v>
      </c>
      <c r="G37" s="10" t="s">
        <v>100</v>
      </c>
      <c r="H37" s="8">
        <f t="shared" si="0"/>
        <v>375</v>
      </c>
    </row>
    <row r="38" spans="1:8" ht="15.75" customHeight="1">
      <c r="A38" s="10">
        <v>1037</v>
      </c>
      <c r="B38" s="11" t="s">
        <v>101</v>
      </c>
      <c r="C38" s="11" t="s">
        <v>33</v>
      </c>
      <c r="D38" s="11" t="s">
        <v>45</v>
      </c>
      <c r="E38" s="10">
        <v>28</v>
      </c>
      <c r="F38" s="10">
        <v>5</v>
      </c>
      <c r="G38" s="10" t="s">
        <v>102</v>
      </c>
      <c r="H38" s="8">
        <f t="shared" si="0"/>
        <v>140</v>
      </c>
    </row>
    <row r="39" spans="1:8" ht="15.75" customHeight="1">
      <c r="A39" s="10">
        <v>1038</v>
      </c>
      <c r="B39" s="11" t="s">
        <v>103</v>
      </c>
      <c r="C39" s="11" t="s">
        <v>36</v>
      </c>
      <c r="D39" s="11" t="s">
        <v>49</v>
      </c>
      <c r="E39" s="10">
        <v>24</v>
      </c>
      <c r="F39" s="10">
        <v>8</v>
      </c>
      <c r="G39" s="10" t="s">
        <v>104</v>
      </c>
      <c r="H39" s="8">
        <f t="shared" si="0"/>
        <v>192</v>
      </c>
    </row>
    <row r="40" spans="1:8" ht="15.75" customHeight="1">
      <c r="A40" s="10">
        <v>1039</v>
      </c>
      <c r="B40" s="11" t="s">
        <v>105</v>
      </c>
      <c r="C40" s="11" t="s">
        <v>39</v>
      </c>
      <c r="D40" s="11" t="s">
        <v>34</v>
      </c>
      <c r="E40" s="10">
        <v>16</v>
      </c>
      <c r="F40" s="10">
        <v>50</v>
      </c>
      <c r="G40" s="10" t="s">
        <v>106</v>
      </c>
      <c r="H40" s="8">
        <f t="shared" si="0"/>
        <v>800</v>
      </c>
    </row>
    <row r="41" spans="1:8" ht="15.75" customHeight="1">
      <c r="A41" s="10">
        <v>1040</v>
      </c>
      <c r="B41" s="11" t="s">
        <v>107</v>
      </c>
      <c r="C41" s="11" t="s">
        <v>43</v>
      </c>
      <c r="D41" s="11" t="s">
        <v>37</v>
      </c>
      <c r="E41" s="10">
        <v>27</v>
      </c>
      <c r="F41" s="10">
        <v>10</v>
      </c>
      <c r="G41" s="10" t="s">
        <v>108</v>
      </c>
      <c r="H41" s="8">
        <f t="shared" si="0"/>
        <v>270</v>
      </c>
    </row>
    <row r="42" spans="1:8" ht="15.75" customHeight="1">
      <c r="A42" s="10">
        <v>1041</v>
      </c>
      <c r="B42" s="11" t="s">
        <v>109</v>
      </c>
      <c r="C42" s="11" t="s">
        <v>33</v>
      </c>
      <c r="D42" s="11" t="s">
        <v>40</v>
      </c>
      <c r="E42" s="10">
        <v>21</v>
      </c>
      <c r="F42" s="10">
        <v>25</v>
      </c>
      <c r="G42" s="10" t="s">
        <v>110</v>
      </c>
      <c r="H42" s="8">
        <f t="shared" si="0"/>
        <v>525</v>
      </c>
    </row>
    <row r="43" spans="1:8" ht="15.75" customHeight="1">
      <c r="A43" s="10">
        <v>1042</v>
      </c>
      <c r="B43" s="11" t="s">
        <v>111</v>
      </c>
      <c r="C43" s="11" t="s">
        <v>36</v>
      </c>
      <c r="D43" s="11" t="s">
        <v>45</v>
      </c>
      <c r="E43" s="10">
        <v>30</v>
      </c>
      <c r="F43" s="10">
        <v>5</v>
      </c>
      <c r="G43" s="10" t="s">
        <v>112</v>
      </c>
      <c r="H43" s="8">
        <f t="shared" si="0"/>
        <v>150</v>
      </c>
    </row>
    <row r="44" spans="1:8" ht="15.75" customHeight="1">
      <c r="A44" s="10">
        <v>1043</v>
      </c>
      <c r="B44" s="11" t="s">
        <v>113</v>
      </c>
      <c r="C44" s="11" t="s">
        <v>39</v>
      </c>
      <c r="D44" s="11" t="s">
        <v>49</v>
      </c>
      <c r="E44" s="10">
        <v>26</v>
      </c>
      <c r="F44" s="10">
        <v>8</v>
      </c>
      <c r="G44" s="12">
        <v>45294</v>
      </c>
      <c r="H44" s="8">
        <f t="shared" si="0"/>
        <v>208</v>
      </c>
    </row>
    <row r="45" spans="1:8" ht="15.75" customHeight="1">
      <c r="A45" s="10">
        <v>1044</v>
      </c>
      <c r="B45" s="11" t="s">
        <v>114</v>
      </c>
      <c r="C45" s="11" t="s">
        <v>43</v>
      </c>
      <c r="D45" s="11" t="s">
        <v>34</v>
      </c>
      <c r="E45" s="10">
        <v>14</v>
      </c>
      <c r="F45" s="10">
        <v>50</v>
      </c>
      <c r="G45" s="12">
        <v>45325</v>
      </c>
      <c r="H45" s="8">
        <f t="shared" si="0"/>
        <v>700</v>
      </c>
    </row>
    <row r="46" spans="1:8" ht="15.75" customHeight="1">
      <c r="A46" s="10">
        <v>1045</v>
      </c>
      <c r="B46" s="11" t="s">
        <v>115</v>
      </c>
      <c r="C46" s="11" t="s">
        <v>33</v>
      </c>
      <c r="D46" s="11" t="s">
        <v>37</v>
      </c>
      <c r="E46" s="10">
        <v>20</v>
      </c>
      <c r="F46" s="10">
        <v>10</v>
      </c>
      <c r="G46" s="12">
        <v>45354</v>
      </c>
      <c r="H46" s="8">
        <f t="shared" si="0"/>
        <v>200</v>
      </c>
    </row>
    <row r="47" spans="1:8" ht="15.75" customHeight="1">
      <c r="A47" s="10">
        <v>1046</v>
      </c>
      <c r="B47" s="11" t="s">
        <v>116</v>
      </c>
      <c r="C47" s="11" t="s">
        <v>36</v>
      </c>
      <c r="D47" s="11" t="s">
        <v>40</v>
      </c>
      <c r="E47" s="10">
        <v>17</v>
      </c>
      <c r="F47" s="10">
        <v>25</v>
      </c>
      <c r="G47" s="12">
        <v>45385</v>
      </c>
      <c r="H47" s="8">
        <f t="shared" si="0"/>
        <v>425</v>
      </c>
    </row>
    <row r="48" spans="1:8" ht="15.75" customHeight="1">
      <c r="A48" s="10">
        <v>1047</v>
      </c>
      <c r="B48" s="11" t="s">
        <v>117</v>
      </c>
      <c r="C48" s="11" t="s">
        <v>39</v>
      </c>
      <c r="D48" s="11" t="s">
        <v>45</v>
      </c>
      <c r="E48" s="10">
        <v>19</v>
      </c>
      <c r="F48" s="10">
        <v>5</v>
      </c>
      <c r="G48" s="12">
        <v>45415</v>
      </c>
      <c r="H48" s="8">
        <f t="shared" si="0"/>
        <v>95</v>
      </c>
    </row>
    <row r="49" spans="1:8" ht="15.75" customHeight="1">
      <c r="A49" s="10">
        <v>1048</v>
      </c>
      <c r="B49" s="11" t="s">
        <v>118</v>
      </c>
      <c r="C49" s="11" t="s">
        <v>43</v>
      </c>
      <c r="D49" s="11" t="s">
        <v>49</v>
      </c>
      <c r="E49" s="10">
        <v>32</v>
      </c>
      <c r="F49" s="10">
        <v>8</v>
      </c>
      <c r="G49" s="12">
        <v>45446</v>
      </c>
      <c r="H49" s="8">
        <f t="shared" si="0"/>
        <v>256</v>
      </c>
    </row>
    <row r="50" spans="1:8" ht="15.75" customHeight="1">
      <c r="A50" s="10">
        <v>1049</v>
      </c>
      <c r="B50" s="11" t="s">
        <v>119</v>
      </c>
      <c r="C50" s="11" t="s">
        <v>33</v>
      </c>
      <c r="D50" s="11" t="s">
        <v>34</v>
      </c>
      <c r="E50" s="10">
        <v>12</v>
      </c>
      <c r="F50" s="10">
        <v>50</v>
      </c>
      <c r="G50" s="12">
        <v>45476</v>
      </c>
      <c r="H50" s="8">
        <f t="shared" si="0"/>
        <v>600</v>
      </c>
    </row>
    <row r="51" spans="1:8" ht="15.75" customHeight="1">
      <c r="A51" s="10">
        <v>1050</v>
      </c>
      <c r="B51" s="11" t="s">
        <v>120</v>
      </c>
      <c r="C51" s="11" t="s">
        <v>36</v>
      </c>
      <c r="D51" s="11" t="s">
        <v>37</v>
      </c>
      <c r="E51" s="10">
        <v>25</v>
      </c>
      <c r="F51" s="10">
        <v>10</v>
      </c>
      <c r="G51" s="12">
        <v>45507</v>
      </c>
      <c r="H51" s="8">
        <f t="shared" si="0"/>
        <v>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 to Q3</vt:lpstr>
      <vt:lpstr>Q4 to Q8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2025-12-02T13:23:23Z</dcterms:created>
  <dcterms:modified xsi:type="dcterms:W3CDTF">2025-12-02T13:24:46Z</dcterms:modified>
</cp:coreProperties>
</file>